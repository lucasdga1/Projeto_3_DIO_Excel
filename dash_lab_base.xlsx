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cumentos\Data Science\Excel_Santander\"/>
    </mc:Choice>
  </mc:AlternateContent>
  <xr:revisionPtr revIDLastSave="0" documentId="13_ncr:1_{39C947B5-6BC7-4F83-8E72-BC23E9FAF352}" xr6:coauthVersionLast="47" xr6:coauthVersionMax="47" xr10:uidLastSave="{00000000-0000-0000-0000-000000000000}"/>
  <bookViews>
    <workbookView xWindow="-108" yWindow="-108" windowWidth="23256" windowHeight="12456" tabRatio="6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" l="1"/>
  <c r="F22" i="3"/>
</calcChain>
</file>

<file path=xl/sharedStrings.xml><?xml version="1.0" encoding="utf-8"?>
<sst xmlns="http://schemas.openxmlformats.org/spreadsheetml/2006/main" count="2020" uniqueCount="323">
  <si>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</si>
  <si>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</si>
  <si>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</si>
  <si>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</si>
  <si>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</si>
  <si>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</si>
  <si>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</si>
  <si>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</si>
  <si>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</si>
  <si>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</si>
  <si>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</si>
  <si>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</si>
  <si>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</si>
  <si>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</si>
  <si>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</si>
  <si>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</si>
  <si>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</si>
  <si>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</si>
  <si>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</si>
  <si>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</si>
  <si>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</si>
  <si>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</si>
  <si>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</si>
  <si>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</si>
  <si>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</si>
  <si>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</si>
  <si>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</si>
  <si>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</si>
  <si>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</si>
  <si>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</si>
  <si>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</si>
  <si>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</si>
  <si>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</si>
  <si>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</si>
  <si>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</si>
  <si>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</si>
  <si>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</si>
  <si>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</si>
  <si>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</si>
  <si>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</si>
  <si>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</si>
  <si>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</si>
  <si>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</si>
  <si>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</si>
  <si>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</si>
  <si>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</si>
  <si>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</si>
  <si>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</si>
  <si>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</si>
  <si>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</si>
  <si>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</si>
  <si>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</si>
  <si>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</si>
  <si>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</si>
  <si>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</si>
  <si>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</si>
  <si>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</si>
  <si>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</si>
  <si>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</si>
  <si>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</si>
  <si>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</si>
  <si>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</si>
  <si>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</si>
  <si>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</si>
  <si>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</si>
  <si>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</si>
  <si>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</si>
  <si>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</si>
  <si>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</si>
  <si>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</si>
  <si>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</si>
  <si>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</si>
  <si>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</si>
  <si>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</si>
  <si>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</si>
  <si>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</si>
  <si>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</si>
  <si>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</si>
  <si>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</si>
  <si>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</si>
  <si>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</si>
  <si>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</si>
  <si>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</si>
  <si>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</si>
  <si>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</si>
  <si>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</si>
  <si>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</si>
  <si>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</si>
  <si>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</si>
  <si>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</si>
  <si>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</si>
  <si>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</si>
  <si>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</si>
  <si>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</si>
  <si>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</si>
  <si>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</si>
  <si>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</si>
  <si>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</si>
  <si>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</si>
  <si>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</si>
  <si>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</si>
  <si>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</si>
  <si>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</si>
  <si>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</si>
  <si>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</si>
  <si>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</si>
  <si>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</si>
  <si>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</si>
  <si>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</si>
  <si>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</si>
  <si>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</si>
  <si>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</si>
  <si>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</si>
  <si>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</si>
  <si>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</si>
  <si>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</si>
  <si>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</si>
  <si>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</si>
  <si>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</si>
  <si>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</si>
  <si>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</si>
  <si>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</si>
  <si>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</si>
  <si>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</si>
  <si>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</si>
  <si>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</si>
  <si>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</si>
  <si>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</si>
  <si>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</si>
  <si>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</si>
  <si>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</si>
  <si>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</si>
  <si>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</si>
  <si>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</si>
  <si>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</si>
  <si>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</si>
  <si>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</si>
  <si>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</si>
  <si>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</si>
  <si>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</si>
  <si>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</si>
  <si>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</si>
  <si>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</si>
  <si>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</si>
  <si>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</si>
  <si>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</si>
  <si>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</si>
  <si>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</si>
  <si>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</si>
  <si>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</si>
  <si>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</si>
  <si>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</si>
  <si>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</si>
  <si>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</si>
  <si>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</si>
  <si>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</si>
  <si>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</si>
  <si>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</si>
  <si>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</si>
  <si>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</si>
  <si>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</si>
  <si>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</si>
  <si>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</si>
  <si>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</si>
  <si>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</si>
  <si>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</si>
  <si>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</si>
  <si>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</si>
  <si>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</si>
  <si>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</si>
  <si>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</si>
  <si>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</si>
  <si>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</si>
  <si>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</si>
  <si>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</si>
  <si>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</si>
  <si>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</si>
  <si>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</si>
  <si>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</si>
  <si>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</si>
  <si>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</si>
  <si>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</si>
  <si>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</si>
  <si>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</si>
  <si>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</si>
  <si>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</si>
  <si>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</si>
  <si>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</si>
  <si>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</si>
  <si>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</si>
  <si>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</si>
  <si>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</si>
  <si>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</si>
  <si>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</si>
  <si>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</si>
  <si>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</si>
  <si>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</si>
  <si>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</si>
  <si>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</si>
  <si>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</si>
  <si>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</si>
  <si>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</si>
  <si>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</si>
  <si>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</si>
  <si>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</si>
  <si>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</si>
  <si>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</si>
  <si>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</si>
  <si>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</si>
  <si>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</si>
  <si>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</si>
  <si>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</si>
  <si>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</si>
  <si>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</si>
  <si>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</si>
  <si>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</si>
  <si>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</si>
  <si>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</si>
  <si>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</si>
  <si>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</si>
  <si>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</si>
  <si>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</si>
  <si>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</si>
  <si>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</si>
  <si>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</si>
  <si>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</si>
  <si>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</si>
  <si>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</si>
  <si>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</si>
  <si>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</si>
  <si>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</si>
  <si>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</si>
  <si>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</si>
  <si>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</si>
  <si>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</si>
  <si>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</si>
  <si>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</si>
  <si>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</si>
  <si>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</si>
  <si>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</si>
  <si>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</si>
  <si>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</si>
  <si>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</si>
  <si>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</si>
  <si>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</si>
  <si>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</si>
  <si>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</si>
  <si>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</si>
  <si>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</si>
  <si>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</si>
  <si>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</si>
  <si>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</si>
  <si>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</si>
  <si>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</si>
  <si>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</si>
  <si>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</si>
  <si>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</si>
  <si>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</si>
  <si>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</si>
  <si>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</si>
  <si>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</si>
  <si>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</si>
  <si>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</si>
  <si>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</si>
  <si>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</si>
  <si>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</si>
  <si>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</si>
  <si>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</si>
  <si>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</si>
  <si>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</si>
  <si>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</si>
  <si>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</si>
  <si>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</si>
  <si>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</si>
  <si>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</si>
  <si>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</si>
  <si>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</si>
  <si>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</si>
  <si>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</si>
  <si>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</si>
  <si>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</si>
  <si>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</si>
  <si>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</si>
  <si>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</si>
  <si>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</si>
  <si>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</si>
  <si>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</si>
  <si>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</si>
  <si>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</si>
  <si>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</si>
  <si>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</si>
  <si>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</si>
  <si>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</si>
  <si>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</si>
  <si>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</si>
  <si>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</si>
  <si>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</si>
  <si>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</si>
  <si>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</si>
  <si>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</si>
  <si>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</si>
  <si>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</si>
  <si>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</si>
  <si>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</si>
  <si>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</si>
  <si>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</si>
  <si>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</si>
  <si>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</si>
  <si>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</si>
  <si>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</si>
  <si>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</si>
  <si>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</si>
  <si>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</si>
  <si>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o faturamento total de vendas de planos anuais</t>
  </si>
  <si>
    <t>Rótulos de Linha</t>
  </si>
  <si>
    <t>Total Geral</t>
  </si>
  <si>
    <t>Soma de Total Value</t>
  </si>
  <si>
    <t>(Tudo)</t>
  </si>
  <si>
    <t>Pergunta de negócio 2 - Qual o faturamento total de vendas de planos anuais não autorrenovados</t>
  </si>
  <si>
    <t>XBOX GAME PASS SUBSCRIPTION SALES</t>
  </si>
  <si>
    <t>Pergunta de negócio 3 - Qual o total de vendas de assinaturas da EA play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</si>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</sst>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B05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NumberFormat="1"/>
    <xf numFmtId="166" fontId="0" fillId="0" borderId="0" xfId="0" applyNumberFormat="1"/>
    <xf numFmtId="0" fontId="0" fillId="9" borderId="0" xfId="0" applyFill="1"/>
    <xf numFmtId="0" fontId="4" fillId="8" borderId="2" xfId="1" applyFont="1" applyFill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fgColor rgb="FF00B050"/>
          <bgColor rgb="FF00B050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5BF6A8"/>
        </patternFill>
      </fill>
    </dxf>
    <dxf>
      <font>
        <color theme="1"/>
      </font>
      <fill>
        <patternFill>
          <fgColor rgb="FF5BF6A8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4" xr9:uid="{93851EFB-C640-4E53-93DC-DD29CD1EFED4}">
      <tableStyleElement type="wholeTable" dxfId="3"/>
      <tableStyleElement type="headerRow" dxfId="2"/>
    </tableStyle>
    <tableStyle name="SlicerStyleLight3 2" pivot="0" table="0" count="10" xr9:uid="{3013945D-2F3A-41EC-AFBB-5ACCE2BD5369}">
      <tableStyleElement type="wholeTable" dxfId="1"/>
      <tableStyleElement type="headerRow" dxfId="0"/>
    </tableStyle>
  </tableStyles>
  <colors>
    <mruColors>
      <color rgb="FF2AE6B1"/>
      <color rgb="FF5BF6A8"/>
      <color rgb="FFE8E6E9"/>
      <color rgb="FF000000"/>
      <color rgb="FF22C55E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rgb="FF5BF6A8"/>
            </patternFill>
          </fill>
        </dxf>
        <dxf>
          <font>
            <color rgb="FF000000"/>
          </font>
          <fill>
            <patternFill>
              <fgColor rgb="FF5BF6A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7"/>
            <x14:slicerStyleElement type="hoveredSelectedItemWithData" dxfId="16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[dash_lab_base.xlsx]C̳álculos!tbl_anual_total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83763195124605"/>
          <c:y val="3.962525517643628E-2"/>
          <c:w val="0.84195940798781155"/>
          <c:h val="0.909448818897637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1-47E7-A997-F7CC913F85C0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1-47E7-A997-F7CC913F85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C1-47E7-A997-F7CC913F8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167952"/>
        <c:axId val="346367040"/>
      </c:barChart>
      <c:catAx>
        <c:axId val="29116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6367040"/>
        <c:crosses val="autoZero"/>
        <c:auto val="1"/>
        <c:lblAlgn val="ctr"/>
        <c:lblOffset val="100"/>
        <c:noMultiLvlLbl val="0"/>
      </c:catAx>
      <c:valAx>
        <c:axId val="3463670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91167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209549</xdr:colOff>
      <xdr:row>0</xdr:row>
      <xdr:rowOff>85725</xdr:rowOff>
    </xdr:from>
    <xdr:to>
      <xdr:col>2</xdr:col>
      <xdr:colOff>476250</xdr:colOff>
      <xdr:row>2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0BBC53-29FF-4686-AB2B-6319E516B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11" t="17422" r="73267" b="13860"/>
        <a:stretch>
          <a:fillRect/>
        </a:stretch>
      </xdr:blipFill>
      <xdr:spPr>
        <a:xfrm>
          <a:off x="2057399" y="85725"/>
          <a:ext cx="514351" cy="676275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17</xdr:row>
      <xdr:rowOff>57150</xdr:rowOff>
    </xdr:from>
    <xdr:to>
      <xdr:col>18</xdr:col>
      <xdr:colOff>19050</xdr:colOff>
      <xdr:row>33</xdr:row>
      <xdr:rowOff>142875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2A36FAF3-C14A-AA1F-5B9E-69DD80809413}"/>
            </a:ext>
          </a:extLst>
        </xdr:cNvPr>
        <xdr:cNvGrpSpPr/>
      </xdr:nvGrpSpPr>
      <xdr:grpSpPr>
        <a:xfrm>
          <a:off x="1975402" y="3456333"/>
          <a:ext cx="9725439" cy="3054212"/>
          <a:chOff x="2505075" y="1419225"/>
          <a:chExt cx="4838700" cy="298132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3A39E1B-CCA0-AFB3-30CE-7193DDCEF0E5}"/>
              </a:ext>
            </a:extLst>
          </xdr:cNvPr>
          <xdr:cNvSpPr/>
        </xdr:nvSpPr>
        <xdr:spPr>
          <a:xfrm>
            <a:off x="2505075" y="1419225"/>
            <a:ext cx="4838700" cy="2981325"/>
          </a:xfrm>
          <a:prstGeom prst="roundRect">
            <a:avLst>
              <a:gd name="adj" fmla="val 96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4EE1AE0-7ED0-4813-BC82-97180746FEA0}"/>
              </a:ext>
            </a:extLst>
          </xdr:cNvPr>
          <xdr:cNvGraphicFramePr>
            <a:graphicFrameLocks/>
          </xdr:cNvGraphicFramePr>
        </xdr:nvGraphicFramePr>
        <xdr:xfrm>
          <a:off x="2682246" y="15811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118110</xdr:rowOff>
    </xdr:from>
    <xdr:to>
      <xdr:col>0</xdr:col>
      <xdr:colOff>1828800</xdr:colOff>
      <xdr:row>19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CCC4247-93E4-4FC5-9074-105666A914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44545"/>
              <a:ext cx="1828800" cy="26342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76200</xdr:colOff>
      <xdr:row>3</xdr:row>
      <xdr:rowOff>57150</xdr:rowOff>
    </xdr:from>
    <xdr:to>
      <xdr:col>9</xdr:col>
      <xdr:colOff>304800</xdr:colOff>
      <xdr:row>14</xdr:row>
      <xdr:rowOff>38101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6D8441E-F674-3A2A-27B7-5CA2B72536C0}"/>
            </a:ext>
          </a:extLst>
        </xdr:cNvPr>
        <xdr:cNvGrpSpPr/>
      </xdr:nvGrpSpPr>
      <xdr:grpSpPr>
        <a:xfrm>
          <a:off x="1918252" y="839028"/>
          <a:ext cx="4740965" cy="2041664"/>
          <a:chOff x="1924050" y="828675"/>
          <a:chExt cx="4743450" cy="201930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49A4887-BCE6-542F-0C91-71F1B0B7EABE}"/>
              </a:ext>
            </a:extLst>
          </xdr:cNvPr>
          <xdr:cNvSpPr/>
        </xdr:nvSpPr>
        <xdr:spPr>
          <a:xfrm>
            <a:off x="1933575" y="866775"/>
            <a:ext cx="4705350" cy="19335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3A8267A-C68E-71B9-2A8A-7CDDF1BF406D}"/>
              </a:ext>
            </a:extLst>
          </xdr:cNvPr>
          <xdr:cNvSpPr/>
        </xdr:nvSpPr>
        <xdr:spPr>
          <a:xfrm>
            <a:off x="3038474" y="1285876"/>
            <a:ext cx="3133725" cy="15621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F459BA4-28E4-4B3E-8496-CE82E7FB321C}" type="TxLink">
              <a:rPr lang="en-US" sz="4400" b="0" i="0" u="none" strike="noStrike">
                <a:solidFill>
                  <a:srgbClr val="00B050"/>
                </a:solidFill>
                <a:latin typeface="Aptos Narrow"/>
              </a:rPr>
              <a:pPr algn="ctr"/>
              <a:t>R$ 2.940,00</a:t>
            </a:fld>
            <a:endParaRPr lang="pt-BR" sz="4400">
              <a:solidFill>
                <a:srgbClr val="00B050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F188871-315B-4DA9-8C6C-2A4D12D52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0250" y="1457325"/>
            <a:ext cx="1219200" cy="116586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8BBAFE18-73A6-C71F-5A12-F4EE1C11D8DA}"/>
              </a:ext>
            </a:extLst>
          </xdr:cNvPr>
          <xdr:cNvSpPr/>
        </xdr:nvSpPr>
        <xdr:spPr>
          <a:xfrm>
            <a:off x="1924050" y="828675"/>
            <a:ext cx="4743450" cy="571500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SUBSCRIPTIONS EA PLAY SEASON PASS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10</xdr:col>
      <xdr:colOff>28575</xdr:colOff>
      <xdr:row>3</xdr:row>
      <xdr:rowOff>57150</xdr:rowOff>
    </xdr:from>
    <xdr:to>
      <xdr:col>18</xdr:col>
      <xdr:colOff>57150</xdr:colOff>
      <xdr:row>14</xdr:row>
      <xdr:rowOff>57151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4DDA279B-72A9-12C5-662B-D797D7D00A8C}"/>
            </a:ext>
          </a:extLst>
        </xdr:cNvPr>
        <xdr:cNvGrpSpPr/>
      </xdr:nvGrpSpPr>
      <xdr:grpSpPr>
        <a:xfrm>
          <a:off x="6992592" y="839028"/>
          <a:ext cx="4746349" cy="2060714"/>
          <a:chOff x="7000875" y="828675"/>
          <a:chExt cx="4743450" cy="2038351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2CF06DF2-DAFB-4C9B-B032-DB5A2FFB9A35}"/>
              </a:ext>
            </a:extLst>
          </xdr:cNvPr>
          <xdr:cNvGrpSpPr/>
        </xdr:nvGrpSpPr>
        <xdr:grpSpPr>
          <a:xfrm>
            <a:off x="7000875" y="828675"/>
            <a:ext cx="4743450" cy="2038351"/>
            <a:chOff x="1924050" y="828675"/>
            <a:chExt cx="4743450" cy="2038351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DFBFE80-6D0B-A0F3-6CCE-C339B4499F82}"/>
                </a:ext>
              </a:extLst>
            </xdr:cNvPr>
            <xdr:cNvSpPr/>
          </xdr:nvSpPr>
          <xdr:spPr>
            <a:xfrm>
              <a:off x="1933575" y="866775"/>
              <a:ext cx="4705350" cy="19335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2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337C44A8-B978-9E09-0CD4-C33A7593CF1C}"/>
                </a:ext>
              </a:extLst>
            </xdr:cNvPr>
            <xdr:cNvSpPr/>
          </xdr:nvSpPr>
          <xdr:spPr>
            <a:xfrm>
              <a:off x="3238499" y="1304926"/>
              <a:ext cx="3133725" cy="15621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102EBB2-F822-42E1-9A5F-F23A7A120694}" type="TxLink">
                <a:rPr lang="en-US" sz="4400" b="0" i="0" u="none" strike="noStrike">
                  <a:solidFill>
                    <a:srgbClr val="00B050"/>
                  </a:solidFill>
                  <a:latin typeface="Aptos Narrow"/>
                </a:rPr>
                <a:t>R$ 3.880,00</a:t>
              </a:fld>
              <a:endParaRPr lang="pt-BR" sz="16600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F3DC1EED-BB07-92FC-7F45-CA9211ED7543}"/>
                </a:ext>
              </a:extLst>
            </xdr:cNvPr>
            <xdr:cNvSpPr/>
          </xdr:nvSpPr>
          <xdr:spPr>
            <a:xfrm>
              <a:off x="1924050" y="828675"/>
              <a:ext cx="4743450" cy="571500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</a:rPr>
                <a:t>TOTAL SUBSCRIPTIONS MINECRAFT SEASON PASS</a:t>
              </a:r>
              <a:endParaRPr lang="pt-BR" sz="11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2F576E6-7FDC-410A-BEA3-CB69C21D751B}"/>
              </a:ext>
            </a:extLst>
          </xdr:cNvPr>
          <xdr:cNvGrpSpPr/>
        </xdr:nvGrpSpPr>
        <xdr:grpSpPr>
          <a:xfrm>
            <a:off x="7086600" y="1571625"/>
            <a:ext cx="1362075" cy="685800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1FAB63AD-907C-544F-DBEE-B105ECF4B3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B2DCA0B-12DE-2F55-DDB3-AB1DF8C793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123825</xdr:colOff>
      <xdr:row>17</xdr:row>
      <xdr:rowOff>38100</xdr:rowOff>
    </xdr:from>
    <xdr:to>
      <xdr:col>18</xdr:col>
      <xdr:colOff>38100</xdr:colOff>
      <xdr:row>19</xdr:row>
      <xdr:rowOff>152400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E1C8B40F-DDB0-40B5-839F-2FC093EB10AF}"/>
            </a:ext>
          </a:extLst>
        </xdr:cNvPr>
        <xdr:cNvSpPr/>
      </xdr:nvSpPr>
      <xdr:spPr>
        <a:xfrm>
          <a:off x="1971675" y="3390900"/>
          <a:ext cx="9753600" cy="476250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TOTAL SUBSCRIPTIONS XBOX</a:t>
          </a:r>
          <a:r>
            <a:rPr lang="pt-BR" sz="1400" b="1" baseline="0">
              <a:solidFill>
                <a:schemeClr val="bg1"/>
              </a:solidFill>
            </a:rPr>
            <a:t> GAME</a:t>
          </a:r>
          <a:r>
            <a:rPr lang="pt-BR" sz="1400" b="1">
              <a:solidFill>
                <a:schemeClr val="bg1"/>
              </a:solidFill>
            </a:rPr>
            <a:t> PASS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581025</xdr:colOff>
      <xdr:row>1</xdr:row>
      <xdr:rowOff>76200</xdr:rowOff>
    </xdr:from>
    <xdr:to>
      <xdr:col>0</xdr:col>
      <xdr:colOff>1276350</xdr:colOff>
      <xdr:row>4</xdr:row>
      <xdr:rowOff>53340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C99B77AB-2EF1-4AE9-A5BB-0A473C3FC970}"/>
            </a:ext>
          </a:extLst>
        </xdr:cNvPr>
        <xdr:cNvSpPr/>
      </xdr:nvSpPr>
      <xdr:spPr>
        <a:xfrm>
          <a:off x="581025" y="257175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anziger Guimarães de Andrade" refreshedDate="46028.639484490741" createdVersion="8" refreshedVersion="8" minRefreshableVersion="3" recordCount="295" xr:uid="{F0048941-3CE8-450D-BD46-47F03B85542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638213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7EF4E-3F65-4582-952F-07529B1A01F2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28:D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6403D-D3F7-4E6F-ABA9-6169A7753A97}" name="tbl_ea_season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8:D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A7AE9-4A42-4612-A15C-69A278C532AD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8:D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9DEB983-C822-49B6-9FB1-F091A9456954}" sourceName="Subscription Type">
  <pivotTables>
    <pivotTable tabId="3" name="tbl_anual_total"/>
    <pivotTable tabId="3" name="tbl_ea_season"/>
    <pivotTable tabId="3" name="Tabela dinâmica3"/>
  </pivotTables>
  <data>
    <tabular pivotCacheId="86382133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AF2CC6-B22C-48BA-8E54-7183F0003A5E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7" sqref="B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F32"/>
  <sheetViews>
    <sheetView showGridLines="0" topLeftCell="B13" workbookViewId="0">
      <selection activeCell="B7" sqref="B7"/>
    </sheetView>
  </sheetViews>
  <sheetFormatPr defaultRowHeight="14.4" x14ac:dyDescent="0.3"/>
  <cols>
    <col min="3" max="3" width="16.77734375" bestFit="1" customWidth="1"/>
    <col min="4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3:4" x14ac:dyDescent="0.3">
      <c r="C4" t="s">
        <v>313</v>
      </c>
    </row>
    <row r="5" spans="3:4" x14ac:dyDescent="0.3">
      <c r="C5" t="s">
        <v>318</v>
      </c>
    </row>
    <row r="6" spans="3:4" x14ac:dyDescent="0.3">
      <c r="C6" s="12" t="s">
        <v>16</v>
      </c>
      <c r="D6" t="s">
        <v>317</v>
      </c>
    </row>
    <row r="8" spans="3:4" x14ac:dyDescent="0.3">
      <c r="C8" s="12" t="s">
        <v>314</v>
      </c>
      <c r="D8" t="s">
        <v>316</v>
      </c>
    </row>
    <row r="9" spans="3:4" x14ac:dyDescent="0.3">
      <c r="C9" s="13" t="s">
        <v>23</v>
      </c>
      <c r="D9" s="14">
        <v>3847</v>
      </c>
    </row>
    <row r="10" spans="3:4" x14ac:dyDescent="0.3">
      <c r="C10" s="13" t="s">
        <v>19</v>
      </c>
      <c r="D10" s="14">
        <v>3786</v>
      </c>
    </row>
    <row r="11" spans="3:4" x14ac:dyDescent="0.3">
      <c r="C11" s="13" t="s">
        <v>315</v>
      </c>
      <c r="D11" s="14">
        <v>7633</v>
      </c>
    </row>
    <row r="14" spans="3:4" x14ac:dyDescent="0.3">
      <c r="C14" s="13" t="s">
        <v>320</v>
      </c>
    </row>
    <row r="16" spans="3:4" x14ac:dyDescent="0.3">
      <c r="C16" s="12" t="s">
        <v>16</v>
      </c>
      <c r="D16" t="s">
        <v>317</v>
      </c>
    </row>
    <row r="18" spans="3:6" x14ac:dyDescent="0.3">
      <c r="C18" s="12" t="s">
        <v>314</v>
      </c>
      <c r="D18" t="s">
        <v>321</v>
      </c>
    </row>
    <row r="19" spans="3:6" x14ac:dyDescent="0.3">
      <c r="C19" s="13" t="s">
        <v>22</v>
      </c>
      <c r="D19" s="16">
        <v>0</v>
      </c>
    </row>
    <row r="20" spans="3:6" x14ac:dyDescent="0.3">
      <c r="C20" s="13" t="s">
        <v>26</v>
      </c>
      <c r="D20" s="16">
        <v>0</v>
      </c>
    </row>
    <row r="21" spans="3:6" x14ac:dyDescent="0.3">
      <c r="C21" s="13" t="s">
        <v>18</v>
      </c>
      <c r="D21" s="16">
        <v>2940</v>
      </c>
    </row>
    <row r="22" spans="3:6" x14ac:dyDescent="0.3">
      <c r="C22" s="13" t="s">
        <v>315</v>
      </c>
      <c r="D22" s="16">
        <v>2940</v>
      </c>
      <c r="F22" s="17">
        <f>GETPIVOTDATA("EA Play Season Pass
Price",$C$18)</f>
        <v>2940</v>
      </c>
    </row>
    <row r="26" spans="3:6" x14ac:dyDescent="0.3">
      <c r="C26" s="12" t="s">
        <v>16</v>
      </c>
      <c r="D26" t="s">
        <v>317</v>
      </c>
    </row>
    <row r="28" spans="3:6" x14ac:dyDescent="0.3">
      <c r="C28" s="12" t="s">
        <v>314</v>
      </c>
      <c r="D28" t="s">
        <v>322</v>
      </c>
    </row>
    <row r="29" spans="3:6" x14ac:dyDescent="0.3">
      <c r="C29" s="13" t="s">
        <v>22</v>
      </c>
      <c r="D29" s="14">
        <v>0</v>
      </c>
    </row>
    <row r="30" spans="3:6" x14ac:dyDescent="0.3">
      <c r="C30" s="13" t="s">
        <v>26</v>
      </c>
      <c r="D30" s="14">
        <v>1920</v>
      </c>
    </row>
    <row r="31" spans="3:6" x14ac:dyDescent="0.3">
      <c r="C31" s="13" t="s">
        <v>18</v>
      </c>
      <c r="D31" s="14">
        <v>1960</v>
      </c>
    </row>
    <row r="32" spans="3:6" x14ac:dyDescent="0.3">
      <c r="C32" s="13" t="s">
        <v>315</v>
      </c>
      <c r="D32" s="14">
        <v>3880</v>
      </c>
      <c r="F32" s="17">
        <f>GETPIVOTDATA("Minecraft Season Pass Price",$C$28)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7"/>
  <sheetViews>
    <sheetView showGridLines="0" showRowColHeaders="0" tabSelected="1" zoomScale="115" zoomScaleNormal="115" workbookViewId="0"/>
  </sheetViews>
  <sheetFormatPr defaultRowHeight="14.4" x14ac:dyDescent="0.3"/>
  <cols>
    <col min="1" max="1" width="26.88671875" style="18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24" s="15" customFormat="1" x14ac:dyDescent="0.3">
      <c r="A1" s="18"/>
    </row>
    <row r="2" spans="1:24" s="15" customFormat="1" ht="39" customHeight="1" thickBot="1" x14ac:dyDescent="0.6">
      <c r="A2" s="18"/>
      <c r="C2" s="19" t="s">
        <v>319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/>
      <c r="T2"/>
      <c r="U2"/>
      <c r="V2"/>
      <c r="W2"/>
      <c r="X2"/>
    </row>
    <row r="3" spans="1:24" s="15" customFormat="1" ht="8.25" customHeight="1" thickTop="1" x14ac:dyDescent="0.3">
      <c r="A3" s="18"/>
    </row>
    <row r="4" spans="1:24" ht="7.5" customHeight="1" x14ac:dyDescent="0.3"/>
    <row r="5" spans="1:24" ht="10.5" customHeight="1" x14ac:dyDescent="0.3"/>
    <row r="6" spans="1:24" ht="9.75" customHeight="1" x14ac:dyDescent="0.3"/>
    <row r="7" spans="1:24" ht="33" customHeight="1" x14ac:dyDescent="0.3"/>
  </sheetData>
  <mergeCells count="1">
    <mergeCell ref="C2:R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 Danziger Guimarães de Andrade</cp:lastModifiedBy>
  <dcterms:created xsi:type="dcterms:W3CDTF">2024-12-19T13:13:10Z</dcterms:created>
  <dcterms:modified xsi:type="dcterms:W3CDTF">2026-01-06T20:27:31Z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